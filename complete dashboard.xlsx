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Dashboard" sheetId="1" r:id="rId5"/>
  </sheets>
  <definedNames/>
  <calcPr/>
</workbook>
</file>

<file path=xl/sharedStrings.xml><?xml version="1.0" encoding="utf-8"?>
<sst xmlns="http://schemas.openxmlformats.org/spreadsheetml/2006/main" count="114" uniqueCount="86">
  <si>
    <t xml:space="preserve">  SHADOWFOX DATA ANALYST TASK — SUPERSTORE EXECUTIVE SALES &amp; PROFIT DASHBOARD</t>
  </si>
  <si>
    <t>TOTAL SALES</t>
  </si>
  <si>
    <t>TOTAL PROFIT</t>
  </si>
  <si>
    <t>TOTAL ORDERS</t>
  </si>
  <si>
    <t>PROFIT MARGIN</t>
  </si>
  <si>
    <t>AVG ORDER VALUE</t>
  </si>
  <si>
    <t>AVG DISCOUNT</t>
  </si>
  <si>
    <t>$2,297,200.86</t>
  </si>
  <si>
    <t>$286,397.02</t>
  </si>
  <si>
    <t>5,009</t>
  </si>
  <si>
    <t>12.47%</t>
  </si>
  <si>
    <t>$458.61</t>
  </si>
  <si>
    <t>15.6%</t>
  </si>
  <si>
    <t>Sub-Category Profit &amp; Loss Analysis</t>
  </si>
  <si>
    <t>Sub-Category</t>
  </si>
  <si>
    <t>Category</t>
  </si>
  <si>
    <t>Orders</t>
  </si>
  <si>
    <t>Sales ($)</t>
  </si>
  <si>
    <t>Profit ($)</t>
  </si>
  <si>
    <t>Margin %</t>
  </si>
  <si>
    <t>Copiers</t>
  </si>
  <si>
    <t>Technology</t>
  </si>
  <si>
    <t>Phones</t>
  </si>
  <si>
    <t>Accessories</t>
  </si>
  <si>
    <t>Paper</t>
  </si>
  <si>
    <t>Office Supplies</t>
  </si>
  <si>
    <t>Binders</t>
  </si>
  <si>
    <t>Chairs</t>
  </si>
  <si>
    <t>Furniture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</si>
  <si>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</si>
  <si>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</si>
  <si>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</si>
  <si>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</si>
  <si>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</si>
  <si>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</si>
  <si>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</si>
  <si>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</si>
  <si>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</si>
  <si>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</si>
  <si>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</si>
  <si>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Regional Performance Summary</t>
  </si>
  <si>
    <t>Region</t>
  </si>
  <si>
    <t>West</t>
  </si>
  <si>
    <t>East</t>
  </si>
  <si>
    <t>Central</t>
  </si>
  <si>
    <t>South</t>
  </si>
  <si>
    <t>Category Performance Overview</t>
  </si>
  <si>
    <t>Quantity</t>
  </si>
  <si>
    <t>Monthly Sales Velocity Trend (2014-2017)</t>
  </si>
  <si>
    <t>(2014-2016)</t>
  </si>
  <si>
    <t>Year-Month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</si>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</sst>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0.0%"/>
  </numFmts>
  <fonts count="13">
    <font>
      <sz val="10.0"/>
      <color rgb="FF000000"/>
      <name val="Arial"/>
      <scheme val="minor"/>
    </font>
    <font>
      <b/>
      <sz val="16.0"/>
      <color rgb="FFFFFFFF"/>
      <name val="Quattrocento Sans"/>
    </font>
    <font/>
    <font>
      <b/>
      <sz val="10.0"/>
      <color rgb="FF64748B"/>
      <name val="Quattrocento Sans"/>
    </font>
    <font>
      <b/>
      <sz val="18.0"/>
      <color rgb="FF0F172A"/>
      <name val="Quattrocento Sans"/>
    </font>
    <font>
      <b/>
      <sz val="14.0"/>
      <color theme="1"/>
      <name val="Arial"/>
      <scheme val="minor"/>
    </font>
    <font>
      <b/>
      <sz val="11.0"/>
      <color rgb="FFFFFFFF"/>
      <name val="Quattrocento Sans"/>
    </font>
    <font>
      <sz val="11.0"/>
      <color theme="1"/>
      <name val="Calibri"/>
    </font>
    <font>
      <b/>
      <sz val="11.0"/>
      <color rgb="FFDC2626"/>
      <name val="Calibri"/>
    </font>
    <font>
      <b/>
      <sz val="12.0"/>
      <color rgb="FF1E293B"/>
      <name val="Quattrocento Sans"/>
    </font>
    <font>
      <b/>
      <sz val="10.0"/>
      <color rgb="FFFFFFFF"/>
      <name val="Quattrocento Sans"/>
    </font>
    <font>
      <b/>
      <sz val="11.0"/>
      <color theme="1"/>
      <name val="Calibri"/>
    </font>
    <font>
      <b/>
      <color rgb="FFFFFFFF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C1D95"/>
        <bgColor rgb="FF4C1D95"/>
      </patternFill>
    </fill>
    <fill>
      <patternFill patternType="solid">
        <fgColor rgb="FFF1F5F9"/>
        <bgColor rgb="FFF1F5F9"/>
      </patternFill>
    </fill>
    <fill>
      <patternFill patternType="solid">
        <fgColor rgb="FF334155"/>
        <bgColor rgb="FF334155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6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7" fillId="2" fontId="1" numFmtId="0" xfId="0" applyBorder="1" applyFill="1" applyFont="1"/>
    <xf borderId="8" fillId="0" fontId="2" numFmtId="0" xfId="0" applyBorder="1" applyFont="1"/>
    <xf borderId="9" fillId="4" fontId="3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4" fontId="4" numFmtId="0" xfId="0" applyAlignment="1" applyBorder="1" applyFill="1" applyFont="1">
      <alignment horizontal="center" vertical="center"/>
    </xf>
    <xf borderId="4" fillId="2" fontId="1" numFmtId="0" xfId="0" applyBorder="1" applyFill="1" applyFont="1"/>
    <xf borderId="5" fillId="2" fontId="1" numFmtId="0" xfId="0" applyBorder="1" applyFill="1" applyFont="1"/>
    <xf borderId="6" fillId="2" fontId="1" numFmtId="0" xfId="0" applyBorder="1" applyFill="1" applyFont="1"/>
    <xf borderId="0" fillId="0" fontId="5" numFmtId="0" xfId="0" applyAlignment="1" applyFont="1">
      <alignment readingOrder="0"/>
    </xf>
    <xf borderId="12" fillId="5" fontId="6" numFmtId="0" xfId="0" applyAlignment="1" applyBorder="1" applyFill="1" applyFont="1">
      <alignment vertical="bottom"/>
    </xf>
    <xf borderId="12" fillId="5" fontId="6" numFmtId="164" xfId="0" applyAlignment="1" applyBorder="1" applyFill="1" applyFont="1" applyNumberFormat="1">
      <alignment vertical="bottom"/>
    </xf>
    <xf borderId="12" fillId="5" fontId="6" numFmtId="165" xfId="0" applyAlignment="1" applyBorder="1" applyFill="1" applyFont="1" applyNumberFormat="1">
      <alignment vertical="bottom"/>
    </xf>
    <xf borderId="13" fillId="0" fontId="7" numFmtId="0" xfId="0" applyAlignment="1" applyBorder="1" applyFont="1">
      <alignment vertical="bottom"/>
    </xf>
    <xf borderId="13" fillId="0" fontId="7" numFmtId="164" xfId="0" applyAlignment="1" applyBorder="1" applyFont="1" applyNumberFormat="1">
      <alignment horizontal="right" vertical="bottom"/>
    </xf>
    <xf borderId="13" fillId="0" fontId="7" numFmtId="165" xfId="0" applyAlignment="1" applyBorder="1" applyFont="1" applyNumberFormat="1">
      <alignment horizontal="right" vertical="bottom"/>
    </xf>
    <xf borderId="13" fillId="0" fontId="7" numFmtId="0" xfId="0" applyAlignment="1" applyBorder="1" applyFont="1">
      <alignment horizontal="right" vertical="bottom"/>
    </xf>
    <xf borderId="13" fillId="0" fontId="7" numFmtId="164" xfId="0" applyAlignment="1" applyBorder="1" applyFont="1" applyNumberFormat="1">
      <alignment vertical="bottom"/>
    </xf>
    <xf borderId="13" fillId="0" fontId="8" numFmtId="164" xfId="0" applyAlignment="1" applyBorder="1" applyFont="1" applyNumberFormat="1">
      <alignment horizontal="right" vertical="bottom"/>
    </xf>
    <xf borderId="0" fillId="0" fontId="9" numFmtId="0" xfId="0" applyFont="1"/>
    <xf borderId="12" fillId="5" fontId="10" numFmtId="0" xfId="0" applyBorder="1" applyFill="1" applyFont="1"/>
    <xf borderId="13" fillId="0" fontId="7" numFmtId="0" xfId="0" applyBorder="1" applyFont="1"/>
    <xf borderId="13" fillId="0" fontId="7" numFmtId="164" xfId="0" applyBorder="1" applyFont="1" applyNumberFormat="1"/>
    <xf borderId="13" fillId="0" fontId="7" numFmtId="165" xfId="0" applyBorder="1" applyFont="1" applyNumberFormat="1"/>
    <xf borderId="0" fillId="0" fontId="9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12" fillId="5" fontId="1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1C4587"/>
                </a:solidFill>
                <a:latin typeface="+mn-lt"/>
              </a:defRPr>
            </a:pPr>
            <a:r>
              <a:rPr b="1" sz="2400">
                <a:solidFill>
                  <a:srgbClr val="1C4587"/>
                </a:solidFill>
                <a:latin typeface="+mn-lt"/>
              </a:rPr>
              <a:t>Sub-Category Profit &amp; Loss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Dashboard'!$B$13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'complete Dashboard'!$A$14:$A$30</c:f>
            </c:strRef>
          </c:cat>
          <c:val>
            <c:numRef>
              <c:f>'complete Dashboard'!$B$14:$B$30</c:f>
              <c:numCache/>
            </c:numRef>
          </c:val>
        </c:ser>
        <c:ser>
          <c:idx val="1"/>
          <c:order val="1"/>
          <c:tx>
            <c:strRef>
              <c:f>'complete Dashboard'!$C$13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'complete Dashboard'!$A$14:$A$30</c:f>
            </c:strRef>
          </c:cat>
          <c:val>
            <c:numRef>
              <c:f>'complete Dashboard'!$C$14:$C$30</c:f>
              <c:numCache/>
            </c:numRef>
          </c:val>
        </c:ser>
        <c:axId val="1359239552"/>
        <c:axId val="44643260"/>
      </c:barChart>
      <c:catAx>
        <c:axId val="135923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chemeClr val="accent1"/>
                    </a:solidFill>
                    <a:latin typeface="+mn-lt"/>
                  </a:defRPr>
                </a:pPr>
                <a:r>
                  <a:rPr b="0" sz="1600">
                    <a:solidFill>
                      <a:schemeClr val="accent1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43260"/>
      </c:catAx>
      <c:valAx>
        <c:axId val="44643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chemeClr val="accent1"/>
                    </a:solidFill>
                    <a:latin typeface="+mn-lt"/>
                  </a:defRPr>
                </a:pPr>
                <a:r>
                  <a:rPr b="1" i="0" sz="1600">
                    <a:solidFill>
                      <a:schemeClr val="accent1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239552"/>
      </c:valAx>
      <c:lineChart>
        <c:ser>
          <c:idx val="2"/>
          <c:order val="2"/>
          <c:tx>
            <c:strRef>
              <c:f>'complete Dashboard'!$D$13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'complete Dashboard'!$A$14:$A$30</c:f>
            </c:strRef>
          </c:cat>
          <c:val>
            <c:numRef>
              <c:f>'complete Dashboard'!$D$14:$D$30</c:f>
              <c:numCache/>
            </c:numRef>
          </c:val>
          <c:smooth val="0"/>
        </c:ser>
        <c:ser>
          <c:idx val="3"/>
          <c:order val="3"/>
          <c:tx>
            <c:strRef>
              <c:f>'complete Dashboard'!$E$13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'complete Dashboard'!$A$14:$A$30</c:f>
            </c:strRef>
          </c:cat>
          <c:val>
            <c:numRef>
              <c:f>'complete Dashboard'!$E$14:$E$30</c:f>
              <c:numCache/>
            </c:numRef>
          </c:val>
          <c:smooth val="0"/>
        </c:ser>
        <c:axId val="254665893"/>
        <c:axId val="246353862"/>
      </c:lineChart>
      <c:catAx>
        <c:axId val="2546658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353862"/>
      </c:catAx>
      <c:valAx>
        <c:axId val="2463538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6658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1155CC"/>
                </a:solidFill>
                <a:latin typeface="+mn-lt"/>
              </a:defRPr>
            </a:pPr>
            <a:r>
              <a:rPr b="1" sz="2400">
                <a:solidFill>
                  <a:srgbClr val="1155CC"/>
                </a:solidFill>
                <a:latin typeface="+mn-lt"/>
              </a:rPr>
              <a:t>Regional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Dashboard'!$B$35:$B$36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'complete Dashboard'!$A$37:$A$40</c:f>
            </c:strRef>
          </c:cat>
          <c:val>
            <c:numRef>
              <c:f>'complete Dashboard'!$B$37:$B$40</c:f>
              <c:numCache/>
            </c:numRef>
          </c:val>
        </c:ser>
        <c:ser>
          <c:idx val="1"/>
          <c:order val="1"/>
          <c:tx>
            <c:strRef>
              <c:f>'complete Dashboard'!$C$35:$C$36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'complete Dashboard'!$A$37:$A$40</c:f>
            </c:strRef>
          </c:cat>
          <c:val>
            <c:numRef>
              <c:f>'complete Dashboard'!$C$37:$C$40</c:f>
              <c:numCache/>
            </c:numRef>
          </c:val>
        </c:ser>
        <c:axId val="1882300872"/>
        <c:axId val="595193495"/>
      </c:barChart>
      <c:catAx>
        <c:axId val="1882300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93C47D"/>
                    </a:solidFill>
                    <a:latin typeface="+mn-lt"/>
                  </a:defRPr>
                </a:pPr>
                <a:r>
                  <a:rPr b="0" sz="2000">
                    <a:solidFill>
                      <a:srgbClr val="93C47D"/>
                    </a:solidFill>
                    <a:latin typeface="+mn-lt"/>
                  </a:rPr>
                  <a:t>Region</a:t>
                </a:r>
              </a:p>
            </c:rich>
          </c:tx>
          <c:layout>
            <c:manualLayout>
              <c:xMode val="edge"/>
              <c:yMode val="edge"/>
              <c:x val="0.11151466836734694"/>
              <c:y val="0.8344884488448846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193495"/>
      </c:catAx>
      <c:valAx>
        <c:axId val="595193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300872"/>
      </c:valAx>
      <c:lineChart>
        <c:ser>
          <c:idx val="2"/>
          <c:order val="2"/>
          <c:tx>
            <c:strRef>
              <c:f>'complete Dashboard'!$D$35:$D$36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'complete Dashboard'!$A$37:$A$40</c:f>
            </c:strRef>
          </c:cat>
          <c:val>
            <c:numRef>
              <c:f>'complete Dashboard'!$D$37:$D$40</c:f>
              <c:numCache/>
            </c:numRef>
          </c:val>
          <c:smooth val="1"/>
        </c:ser>
        <c:ser>
          <c:idx val="3"/>
          <c:order val="3"/>
          <c:tx>
            <c:strRef>
              <c:f>'complete Dashboard'!$E$35:$E$36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'complete Dashboard'!$A$37:$A$40</c:f>
            </c:strRef>
          </c:cat>
          <c:val>
            <c:numRef>
              <c:f>'complete Dashboard'!$E$37:$E$40</c:f>
              <c:numCache/>
            </c:numRef>
          </c:val>
          <c:smooth val="1"/>
        </c:ser>
        <c:axId val="739864294"/>
        <c:axId val="1460300032"/>
      </c:lineChart>
      <c:catAx>
        <c:axId val="7398642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300032"/>
      </c:catAx>
      <c:valAx>
        <c:axId val="146030003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8642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1155CC"/>
                </a:solidFill>
                <a:latin typeface="+mn-lt"/>
              </a:defRPr>
            </a:pPr>
            <a:r>
              <a:rPr b="1" sz="2400">
                <a:solidFill>
                  <a:srgbClr val="1155CC"/>
                </a:solidFill>
                <a:latin typeface="+mn-lt"/>
              </a:rPr>
              <a:t>Profit ($) vs. Sales ($)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'complete Dashboard'!$C$68:$C$69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'complete Dashboard'!$B$70:$B$104</c:f>
            </c:strRef>
          </c:cat>
          <c:val>
            <c:numRef>
              <c:f>'complete Dashboard'!$C$70:$C$104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FF"/>
                </a:solidFill>
                <a:latin typeface="+mn-lt"/>
              </a:defRPr>
            </a:pPr>
            <a:r>
              <a:rPr b="1" sz="2000">
                <a:solidFill>
                  <a:srgbClr val="0000FF"/>
                </a:solidFill>
                <a:latin typeface="+mn-lt"/>
              </a:rPr>
              <a:t>Sale &amp; 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Dashboard'!$B$52:$B$53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'complete Dashboard'!$A$54:$A$56</c:f>
            </c:strRef>
          </c:cat>
          <c:val>
            <c:numRef>
              <c:f>'complete Dashboard'!$B$54:$B$56</c:f>
              <c:numCache/>
            </c:numRef>
          </c:val>
        </c:ser>
        <c:ser>
          <c:idx val="1"/>
          <c:order val="1"/>
          <c:tx>
            <c:strRef>
              <c:f>'complete Dashboard'!$C$52:$C$53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'complete Dashboard'!$A$54:$A$56</c:f>
            </c:strRef>
          </c:cat>
          <c:val>
            <c:numRef>
              <c:f>'complete Dashboard'!$C$54:$C$56</c:f>
              <c:numCache/>
            </c:numRef>
          </c:val>
        </c:ser>
        <c:ser>
          <c:idx val="2"/>
          <c:order val="2"/>
          <c:tx>
            <c:strRef>
              <c:f>'complete Dashboard'!$D$52:$D$53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'complete Dashboard'!$A$54:$A$56</c:f>
            </c:strRef>
          </c:cat>
          <c:val>
            <c:numRef>
              <c:f>'complete Dashboard'!$D$54:$D$56</c:f>
              <c:numCache/>
            </c:numRef>
          </c:val>
        </c:ser>
        <c:ser>
          <c:idx val="3"/>
          <c:order val="3"/>
          <c:tx>
            <c:strRef>
              <c:f>'complete Dashboard'!$E$52:$E$53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'complete Dashboard'!$A$54:$A$56</c:f>
            </c:strRef>
          </c:cat>
          <c:val>
            <c:numRef>
              <c:f>'complete Dashboard'!$E$54:$E$56</c:f>
              <c:numCache/>
            </c:numRef>
          </c:val>
        </c:ser>
        <c:ser>
          <c:idx val="4"/>
          <c:order val="4"/>
          <c:tx>
            <c:strRef>
              <c:f>'complete Dashboard'!$F$52:$F$53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'complete Dashboard'!$A$54:$A$56</c:f>
            </c:strRef>
          </c:cat>
          <c:val>
            <c:numRef>
              <c:f>'complete Dashboard'!$F$54:$F$56</c:f>
              <c:numCache/>
            </c:numRef>
          </c:val>
        </c:ser>
        <c:axId val="1132408241"/>
        <c:axId val="745535468"/>
      </c:barChart>
      <c:catAx>
        <c:axId val="1132408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chemeClr val="accent1"/>
                    </a:solidFill>
                    <a:latin typeface="+mn-lt"/>
                  </a:defRPr>
                </a:pPr>
                <a:r>
                  <a:rPr b="1" sz="1800">
                    <a:solidFill>
                      <a:schemeClr val="accent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535468"/>
      </c:catAx>
      <c:valAx>
        <c:axId val="745535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chemeClr val="accent1"/>
                    </a:solidFill>
                    <a:latin typeface="+mn-lt"/>
                  </a:defRPr>
                </a:pPr>
                <a:r>
                  <a:rPr b="1" sz="1800">
                    <a:solidFill>
                      <a:schemeClr val="accent1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408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11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495300</xdr:colOff>
      <xdr:row>34</xdr:row>
      <xdr:rowOff>114300</xdr:rowOff>
    </xdr:from>
    <xdr:ext cx="4248150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847725</xdr:colOff>
      <xdr:row>68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504825</xdr:colOff>
      <xdr:row>50</xdr:row>
      <xdr:rowOff>19050</xdr:rowOff>
    </xdr:from>
    <xdr:ext cx="4581525" cy="2828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/>
    </row>
    <row r="3">
      <c r="A3" s="8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7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>
      <c r="N5" s="9"/>
      <c r="Z5" s="10"/>
    </row>
    <row r="6">
      <c r="A6" s="11" t="s">
        <v>1</v>
      </c>
      <c r="B6" s="12"/>
      <c r="C6" s="11" t="s">
        <v>2</v>
      </c>
      <c r="D6" s="12"/>
      <c r="E6" s="11" t="s">
        <v>3</v>
      </c>
      <c r="F6" s="12"/>
      <c r="G6" s="11" t="s">
        <v>4</v>
      </c>
      <c r="H6" s="12"/>
      <c r="I6" s="11" t="s">
        <v>5</v>
      </c>
      <c r="J6" s="12"/>
      <c r="K6" s="11" t="s">
        <v>6</v>
      </c>
      <c r="L6" s="13"/>
      <c r="M6" s="12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>
      <c r="A7" s="14" t="s">
        <v>7</v>
      </c>
      <c r="B7" s="12"/>
      <c r="C7" s="14" t="s">
        <v>8</v>
      </c>
      <c r="D7" s="12"/>
      <c r="E7" s="14" t="s">
        <v>9</v>
      </c>
      <c r="F7" s="12"/>
      <c r="G7" s="14" t="s">
        <v>10</v>
      </c>
      <c r="H7" s="12"/>
      <c r="I7" s="14" t="s">
        <v>11</v>
      </c>
      <c r="J7" s="12"/>
      <c r="K7" s="14" t="s">
        <v>12</v>
      </c>
      <c r="L7" s="13"/>
      <c r="M7" s="12"/>
      <c r="N7" s="1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</row>
    <row r="11">
      <c r="A11" s="18"/>
    </row>
    <row r="12">
      <c r="A12" s="18" t="s">
        <v>13</v>
      </c>
    </row>
    <row r="13">
      <c r="A13" s="19" t="s">
        <v>14</v>
      </c>
      <c r="B13" s="19" t="s">
        <v>15</v>
      </c>
      <c r="C13" s="20" t="s">
        <v>16</v>
      </c>
      <c r="D13" s="20" t="s">
        <v>17</v>
      </c>
      <c r="E13" s="21" t="s">
        <v>18</v>
      </c>
      <c r="F13" s="19" t="s">
        <v>19</v>
      </c>
    </row>
    <row r="14">
      <c r="A14" s="22" t="s">
        <v>20</v>
      </c>
      <c r="B14" s="22" t="s">
        <v>21</v>
      </c>
      <c r="C14" s="23">
        <v>68.0</v>
      </c>
      <c r="D14" s="23">
        <v>149528.03</v>
      </c>
      <c r="E14" s="23">
        <v>55617.8249</v>
      </c>
      <c r="F14" s="24">
        <v>0.3719558460042575</v>
      </c>
    </row>
    <row r="15">
      <c r="A15" s="22" t="s">
        <v>22</v>
      </c>
      <c r="B15" s="22" t="s">
        <v>21</v>
      </c>
      <c r="C15" s="23">
        <v>814.0</v>
      </c>
      <c r="D15" s="23">
        <v>330007.054</v>
      </c>
      <c r="E15" s="23">
        <v>44515.7306</v>
      </c>
      <c r="F15" s="24">
        <v>0.1348932698874976</v>
      </c>
    </row>
    <row r="16">
      <c r="A16" s="22" t="s">
        <v>23</v>
      </c>
      <c r="B16" s="22" t="s">
        <v>21</v>
      </c>
      <c r="C16" s="23">
        <v>718.0</v>
      </c>
      <c r="D16" s="23">
        <v>167380.318</v>
      </c>
      <c r="E16" s="23">
        <v>41936.6357</v>
      </c>
      <c r="F16" s="24">
        <v>0.2505469950176579</v>
      </c>
    </row>
    <row r="17">
      <c r="A17" s="22" t="s">
        <v>24</v>
      </c>
      <c r="B17" s="22" t="s">
        <v>25</v>
      </c>
      <c r="C17" s="25">
        <v>1191.0</v>
      </c>
      <c r="D17" s="23">
        <v>78479.206</v>
      </c>
      <c r="E17" s="23">
        <v>34053.5693</v>
      </c>
      <c r="F17" s="24">
        <v>0.4339183719570252</v>
      </c>
    </row>
    <row r="18">
      <c r="A18" s="22" t="s">
        <v>26</v>
      </c>
      <c r="B18" s="22" t="s">
        <v>25</v>
      </c>
      <c r="C18" s="25">
        <v>1316.0</v>
      </c>
      <c r="D18" s="23">
        <v>203412.733</v>
      </c>
      <c r="E18" s="23">
        <v>30221.7633</v>
      </c>
      <c r="F18" s="24">
        <v>0.1485736062550224</v>
      </c>
    </row>
    <row r="19">
      <c r="A19" s="22" t="s">
        <v>27</v>
      </c>
      <c r="B19" s="22" t="s">
        <v>28</v>
      </c>
      <c r="C19" s="25">
        <v>576.0</v>
      </c>
      <c r="D19" s="23">
        <v>328449.103</v>
      </c>
      <c r="E19" s="23">
        <v>26590.1663</v>
      </c>
      <c r="F19" s="24">
        <v>0.08095673289142763</v>
      </c>
    </row>
    <row r="20">
      <c r="A20" s="22" t="s">
        <v>29</v>
      </c>
      <c r="B20" s="22" t="s">
        <v>25</v>
      </c>
      <c r="C20" s="25">
        <v>777.0</v>
      </c>
      <c r="D20" s="23">
        <v>223843.608</v>
      </c>
      <c r="E20" s="23">
        <v>21278.8264</v>
      </c>
      <c r="F20" s="24">
        <v>0.09506113035847778</v>
      </c>
    </row>
    <row r="21">
      <c r="A21" s="22" t="s">
        <v>30</v>
      </c>
      <c r="B21" s="26" t="s">
        <v>25</v>
      </c>
      <c r="C21" s="23">
        <v>451.0</v>
      </c>
      <c r="D21" s="23">
        <v>107532.161</v>
      </c>
      <c r="E21" s="23">
        <v>18138.0054</v>
      </c>
      <c r="F21" s="24">
        <v>0.1686751687246386</v>
      </c>
    </row>
    <row r="22">
      <c r="A22" s="22" t="s">
        <v>31</v>
      </c>
      <c r="B22" s="26" t="s">
        <v>28</v>
      </c>
      <c r="C22" s="23">
        <v>877.0</v>
      </c>
      <c r="D22" s="23">
        <v>91705.164</v>
      </c>
      <c r="E22" s="23">
        <v>13059.1436</v>
      </c>
      <c r="F22" s="24">
        <v>0.1424035793665883</v>
      </c>
    </row>
    <row r="23">
      <c r="A23" s="22" t="s">
        <v>32</v>
      </c>
      <c r="B23" s="26" t="s">
        <v>25</v>
      </c>
      <c r="C23" s="23">
        <v>249.0</v>
      </c>
      <c r="D23" s="23">
        <v>16476.402</v>
      </c>
      <c r="E23" s="23">
        <v>6964.1767</v>
      </c>
      <c r="F23" s="24">
        <v>0.4226758184220075</v>
      </c>
    </row>
    <row r="24">
      <c r="A24" s="22" t="s">
        <v>33</v>
      </c>
      <c r="B24" s="26" t="s">
        <v>25</v>
      </c>
      <c r="C24" s="23">
        <v>731.0</v>
      </c>
      <c r="D24" s="23">
        <v>27118.792</v>
      </c>
      <c r="E24" s="23">
        <v>6527.787</v>
      </c>
      <c r="F24" s="24">
        <v>0.2407108325474085</v>
      </c>
    </row>
    <row r="25">
      <c r="A25" s="22" t="s">
        <v>34</v>
      </c>
      <c r="B25" s="26" t="s">
        <v>25</v>
      </c>
      <c r="C25" s="23">
        <v>346.0</v>
      </c>
      <c r="D25" s="23">
        <v>12486.312</v>
      </c>
      <c r="E25" s="23">
        <v>5546.254</v>
      </c>
      <c r="F25" s="24">
        <v>0.4441867222283089</v>
      </c>
    </row>
    <row r="26">
      <c r="A26" s="22" t="s">
        <v>35</v>
      </c>
      <c r="B26" s="26" t="s">
        <v>21</v>
      </c>
      <c r="C26" s="23">
        <v>112.0</v>
      </c>
      <c r="D26" s="23">
        <v>189238.631</v>
      </c>
      <c r="E26" s="23">
        <v>3384.7569</v>
      </c>
      <c r="F26" s="24">
        <v>0.01788618360909618</v>
      </c>
    </row>
    <row r="27">
      <c r="A27" s="22" t="s">
        <v>36</v>
      </c>
      <c r="B27" s="26" t="s">
        <v>25</v>
      </c>
      <c r="C27" s="23">
        <v>215.0</v>
      </c>
      <c r="D27" s="23">
        <v>3024.28</v>
      </c>
      <c r="E27" s="23">
        <v>949.5182</v>
      </c>
      <c r="F27" s="24">
        <v>0.3139650429193064</v>
      </c>
    </row>
    <row r="28">
      <c r="A28" s="22" t="s">
        <v>37</v>
      </c>
      <c r="B28" s="26" t="s">
        <v>25</v>
      </c>
      <c r="C28" s="23">
        <v>187.0</v>
      </c>
      <c r="D28" s="23">
        <v>46673.538</v>
      </c>
      <c r="E28" s="27">
        <v>-1189.0995</v>
      </c>
      <c r="F28" s="24">
        <v>-0.02547695227218472</v>
      </c>
    </row>
    <row r="29">
      <c r="A29" s="22" t="s">
        <v>38</v>
      </c>
      <c r="B29" s="26" t="s">
        <v>28</v>
      </c>
      <c r="C29" s="23">
        <v>224.0</v>
      </c>
      <c r="D29" s="23">
        <v>114879.9963</v>
      </c>
      <c r="E29" s="27">
        <v>-3472.556</v>
      </c>
      <c r="F29" s="24">
        <v>-0.03022768203205452</v>
      </c>
    </row>
    <row r="30">
      <c r="A30" s="22" t="s">
        <v>39</v>
      </c>
      <c r="B30" s="26" t="s">
        <v>28</v>
      </c>
      <c r="C30" s="23">
        <v>307.0</v>
      </c>
      <c r="D30" s="23">
        <v>206965.532</v>
      </c>
      <c r="E30" s="27">
        <v>-17725.4811</v>
      </c>
      <c r="F30" s="24">
        <v>-0.08564460433923848</v>
      </c>
    </row>
    <row r="35">
      <c r="A35" s="28" t="s">
        <v>40</v>
      </c>
    </row>
    <row r="36">
      <c r="A36" s="29" t="s">
        <v>41</v>
      </c>
      <c r="B36" s="29" t="s">
        <v>16</v>
      </c>
      <c r="C36" s="29" t="s">
        <v>17</v>
      </c>
      <c r="D36" s="29" t="s">
        <v>18</v>
      </c>
      <c r="E36" s="29" t="s">
        <v>19</v>
      </c>
    </row>
    <row r="37">
      <c r="A37" s="30" t="s">
        <v>42</v>
      </c>
      <c r="B37" s="30">
        <v>1611.0</v>
      </c>
      <c r="C37" s="31">
        <v>725457.8245</v>
      </c>
      <c r="D37" s="31">
        <v>108418.4489</v>
      </c>
      <c r="E37" s="32">
        <v>0.149448314207272</v>
      </c>
    </row>
    <row r="38">
      <c r="A38" s="30" t="s">
        <v>43</v>
      </c>
      <c r="B38" s="30">
        <v>1401.0</v>
      </c>
      <c r="C38" s="31">
        <v>678781.24</v>
      </c>
      <c r="D38" s="31">
        <v>91522.78</v>
      </c>
      <c r="E38" s="32">
        <v>0.1348339856888207</v>
      </c>
    </row>
    <row r="39">
      <c r="A39" s="30" t="s">
        <v>44</v>
      </c>
      <c r="B39" s="30">
        <v>1175.0</v>
      </c>
      <c r="C39" s="31">
        <v>501239.8908</v>
      </c>
      <c r="D39" s="31">
        <v>39706.3625</v>
      </c>
      <c r="E39" s="32">
        <v>0.07921628591177565</v>
      </c>
    </row>
    <row r="40">
      <c r="A40" s="30" t="s">
        <v>45</v>
      </c>
      <c r="B40" s="30">
        <v>822.0</v>
      </c>
      <c r="C40" s="31">
        <v>391721.905</v>
      </c>
      <c r="D40" s="31">
        <v>46749.4303</v>
      </c>
      <c r="E40" s="32">
        <v>0.1193434160900448</v>
      </c>
    </row>
    <row r="52">
      <c r="A52" s="28" t="s">
        <v>46</v>
      </c>
    </row>
    <row r="53">
      <c r="A53" s="29" t="s">
        <v>15</v>
      </c>
      <c r="B53" s="29" t="s">
        <v>16</v>
      </c>
      <c r="C53" s="29" t="s">
        <v>47</v>
      </c>
      <c r="D53" s="29" t="s">
        <v>17</v>
      </c>
      <c r="E53" s="29" t="s">
        <v>18</v>
      </c>
      <c r="F53" s="29" t="s">
        <v>19</v>
      </c>
    </row>
    <row r="54">
      <c r="A54" s="30" t="s">
        <v>28</v>
      </c>
      <c r="B54" s="30">
        <v>1764.0</v>
      </c>
      <c r="C54" s="30">
        <v>8028.0</v>
      </c>
      <c r="D54" s="31">
        <v>741999.7953</v>
      </c>
      <c r="E54" s="31">
        <v>18451.2728</v>
      </c>
      <c r="F54" s="32">
        <v>0.02486695133458887</v>
      </c>
    </row>
    <row r="55">
      <c r="A55" s="30" t="s">
        <v>25</v>
      </c>
      <c r="B55" s="30">
        <v>3742.0</v>
      </c>
      <c r="C55" s="30">
        <v>22906.0</v>
      </c>
      <c r="D55" s="31">
        <v>719047.032</v>
      </c>
      <c r="E55" s="31">
        <v>122490.8008</v>
      </c>
      <c r="F55" s="32">
        <v>0.1703515839002865</v>
      </c>
    </row>
    <row r="56">
      <c r="A56" s="30" t="s">
        <v>21</v>
      </c>
      <c r="B56" s="30">
        <v>1544.0</v>
      </c>
      <c r="C56" s="30">
        <v>6939.0</v>
      </c>
      <c r="D56" s="31">
        <v>836154.033</v>
      </c>
      <c r="E56" s="31">
        <v>145454.9481</v>
      </c>
      <c r="F56" s="32">
        <v>0.1739571207689194</v>
      </c>
    </row>
    <row r="68">
      <c r="A68" s="33" t="s">
        <v>48</v>
      </c>
      <c r="B68" s="34"/>
      <c r="C68" s="35" t="s">
        <v>49</v>
      </c>
    </row>
    <row r="69">
      <c r="A69" s="36" t="s">
        <v>50</v>
      </c>
      <c r="B69" s="36" t="s">
        <v>17</v>
      </c>
      <c r="C69" s="36" t="s">
        <v>18</v>
      </c>
    </row>
    <row r="70">
      <c r="A70" s="22" t="s">
        <v>51</v>
      </c>
      <c r="B70" s="23">
        <v>14236.895</v>
      </c>
      <c r="C70" s="23">
        <v>2450.1907</v>
      </c>
    </row>
    <row r="71">
      <c r="A71" s="22" t="s">
        <v>52</v>
      </c>
      <c r="B71" s="23">
        <v>4519.892</v>
      </c>
      <c r="C71" s="23">
        <v>862.3084</v>
      </c>
    </row>
    <row r="72">
      <c r="A72" s="22" t="s">
        <v>53</v>
      </c>
      <c r="B72" s="23">
        <v>55691.009</v>
      </c>
      <c r="C72" s="23">
        <v>498.7299</v>
      </c>
    </row>
    <row r="73">
      <c r="A73" s="22" t="s">
        <v>54</v>
      </c>
      <c r="B73" s="23">
        <v>28295.345</v>
      </c>
      <c r="C73" s="23">
        <v>3488.8352</v>
      </c>
    </row>
    <row r="74">
      <c r="A74" s="22" t="s">
        <v>55</v>
      </c>
      <c r="B74" s="23">
        <v>23648.287</v>
      </c>
      <c r="C74" s="23">
        <v>2738.7096</v>
      </c>
    </row>
    <row r="75">
      <c r="A75" s="22" t="s">
        <v>56</v>
      </c>
      <c r="B75" s="23">
        <v>34595.1276</v>
      </c>
      <c r="C75" s="23">
        <v>4976.5244</v>
      </c>
    </row>
    <row r="76">
      <c r="A76" s="22" t="s">
        <v>57</v>
      </c>
      <c r="B76" s="23">
        <v>33946.393</v>
      </c>
      <c r="C76" s="23">
        <v>-841.4826000000002</v>
      </c>
    </row>
    <row r="77">
      <c r="A77" s="22" t="s">
        <v>58</v>
      </c>
      <c r="B77" s="23">
        <v>27909.4685</v>
      </c>
      <c r="C77" s="23">
        <v>5318.105</v>
      </c>
    </row>
    <row r="78">
      <c r="A78" s="22" t="s">
        <v>59</v>
      </c>
      <c r="B78" s="23">
        <v>81777.3508</v>
      </c>
      <c r="C78" s="23">
        <v>8328.0994</v>
      </c>
    </row>
    <row r="79">
      <c r="A79" s="22" t="s">
        <v>60</v>
      </c>
      <c r="B79" s="23">
        <v>31453.393</v>
      </c>
      <c r="C79" s="23">
        <v>3448.2573</v>
      </c>
    </row>
    <row r="80">
      <c r="A80" s="22" t="s">
        <v>61</v>
      </c>
      <c r="B80" s="23">
        <v>78628.7167</v>
      </c>
      <c r="C80" s="23">
        <v>9292.1269</v>
      </c>
    </row>
    <row r="81">
      <c r="A81" s="22" t="s">
        <v>62</v>
      </c>
      <c r="B81" s="23">
        <v>69545.6205</v>
      </c>
      <c r="C81" s="23">
        <v>8983.5699</v>
      </c>
    </row>
    <row r="82">
      <c r="A82" s="22" t="s">
        <v>63</v>
      </c>
      <c r="B82" s="23">
        <v>18174.0756</v>
      </c>
      <c r="C82" s="23">
        <v>-3281.007</v>
      </c>
    </row>
    <row r="83">
      <c r="A83" s="22" t="s">
        <v>64</v>
      </c>
      <c r="B83" s="23">
        <v>11951.411</v>
      </c>
      <c r="C83" s="23">
        <v>2813.8508</v>
      </c>
    </row>
    <row r="84">
      <c r="A84" s="22" t="s">
        <v>65</v>
      </c>
      <c r="B84" s="23">
        <v>38726.252</v>
      </c>
      <c r="C84" s="23">
        <v>9732.0978</v>
      </c>
    </row>
    <row r="85">
      <c r="A85" s="22" t="s">
        <v>66</v>
      </c>
      <c r="B85" s="23">
        <v>34195.2085</v>
      </c>
      <c r="C85" s="23">
        <v>4187.4962</v>
      </c>
    </row>
    <row r="86">
      <c r="A86" s="22" t="s">
        <v>67</v>
      </c>
      <c r="B86" s="23">
        <v>30131.6865</v>
      </c>
      <c r="C86" s="23">
        <v>4667.869</v>
      </c>
    </row>
    <row r="87">
      <c r="A87" s="22" t="s">
        <v>68</v>
      </c>
      <c r="B87" s="23">
        <v>24797.292</v>
      </c>
      <c r="C87" s="23">
        <v>3335.5572</v>
      </c>
    </row>
    <row r="88">
      <c r="A88" s="22" t="s">
        <v>69</v>
      </c>
      <c r="B88" s="23">
        <v>28765.325</v>
      </c>
      <c r="C88" s="23">
        <v>3288.6483</v>
      </c>
    </row>
    <row r="89">
      <c r="A89" s="22" t="s">
        <v>70</v>
      </c>
      <c r="B89" s="23">
        <v>36898.3322</v>
      </c>
      <c r="C89" s="23">
        <v>5355.8084</v>
      </c>
    </row>
    <row r="90">
      <c r="A90" s="22" t="s">
        <v>71</v>
      </c>
      <c r="B90" s="23">
        <v>64595.918</v>
      </c>
      <c r="C90" s="23">
        <v>8209.1627</v>
      </c>
    </row>
    <row r="91">
      <c r="A91" s="22" t="s">
        <v>72</v>
      </c>
      <c r="B91" s="23">
        <v>31404.9235</v>
      </c>
      <c r="C91" s="23">
        <v>2817.366</v>
      </c>
    </row>
    <row r="92">
      <c r="A92" s="22" t="s">
        <v>73</v>
      </c>
      <c r="B92" s="23">
        <v>75972.5635</v>
      </c>
      <c r="C92" s="23">
        <v>12474.7884</v>
      </c>
    </row>
    <row r="93">
      <c r="A93" s="22" t="s">
        <v>74</v>
      </c>
      <c r="B93" s="23">
        <v>74919.5212</v>
      </c>
      <c r="C93" s="23">
        <v>8016.9659</v>
      </c>
    </row>
    <row r="94">
      <c r="A94" s="22" t="s">
        <v>75</v>
      </c>
      <c r="B94" s="23">
        <v>18542.491</v>
      </c>
      <c r="C94" s="23">
        <v>2824.8233</v>
      </c>
    </row>
    <row r="95">
      <c r="A95" s="22" t="s">
        <v>76</v>
      </c>
      <c r="B95" s="23">
        <v>22978.815</v>
      </c>
      <c r="C95" s="23">
        <v>5004.5795</v>
      </c>
    </row>
    <row r="96">
      <c r="A96" s="22" t="s">
        <v>77</v>
      </c>
      <c r="B96" s="23">
        <v>51715.875</v>
      </c>
      <c r="C96" s="23">
        <v>3611.968</v>
      </c>
    </row>
    <row r="97">
      <c r="A97" s="22" t="s">
        <v>78</v>
      </c>
      <c r="B97" s="23">
        <v>38750.039</v>
      </c>
      <c r="C97" s="23">
        <v>2977.8149</v>
      </c>
    </row>
    <row r="98">
      <c r="A98" s="22" t="s">
        <v>79</v>
      </c>
      <c r="B98" s="23">
        <v>56987.728</v>
      </c>
      <c r="C98" s="23">
        <v>8662.1464</v>
      </c>
    </row>
    <row r="99">
      <c r="A99" s="22" t="s">
        <v>80</v>
      </c>
      <c r="B99" s="23">
        <v>40344.534</v>
      </c>
      <c r="C99" s="23">
        <v>4750.3781</v>
      </c>
    </row>
    <row r="100">
      <c r="A100" s="22" t="s">
        <v>81</v>
      </c>
      <c r="B100" s="23">
        <v>39261.963</v>
      </c>
      <c r="C100" s="23">
        <v>4432.877899999999</v>
      </c>
    </row>
    <row r="101">
      <c r="A101" s="22" t="s">
        <v>82</v>
      </c>
      <c r="B101" s="23">
        <v>31115.3743</v>
      </c>
      <c r="C101" s="23">
        <v>2062.0693</v>
      </c>
    </row>
    <row r="102">
      <c r="A102" s="22" t="s">
        <v>83</v>
      </c>
      <c r="B102" s="23">
        <v>73410.0249</v>
      </c>
      <c r="C102" s="23">
        <v>9328.6576</v>
      </c>
    </row>
    <row r="103">
      <c r="A103" s="22" t="s">
        <v>84</v>
      </c>
      <c r="B103" s="23">
        <v>59687.745</v>
      </c>
      <c r="C103" s="23">
        <v>16243.1425</v>
      </c>
    </row>
    <row r="104">
      <c r="A104" s="22" t="s">
        <v>85</v>
      </c>
      <c r="B104" s="23">
        <v>79411.9658</v>
      </c>
      <c r="C104" s="23">
        <v>4011.4075</v>
      </c>
    </row>
  </sheetData>
  <mergeCells count="27">
    <mergeCell ref="A1:M2"/>
    <mergeCell ref="A3:M4"/>
    <mergeCell ref="N5:Z6"/>
    <mergeCell ref="A6:B6"/>
    <mergeCell ref="C6:D6"/>
    <mergeCell ref="E6:F6"/>
    <mergeCell ref="G6:H6"/>
    <mergeCell ref="I6:J6"/>
    <mergeCell ref="K6:M6"/>
    <mergeCell ref="C7:D7"/>
    <mergeCell ref="E7:F7"/>
    <mergeCell ref="G7:H7"/>
    <mergeCell ref="I7:J7"/>
    <mergeCell ref="K7:M7"/>
    <mergeCell ref="A10:B10"/>
    <mergeCell ref="C10:D10"/>
    <mergeCell ref="E10:F10"/>
    <mergeCell ref="G10:H10"/>
    <mergeCell ref="I10:J10"/>
    <mergeCell ref="K10:M10"/>
    <mergeCell ref="A7:B7"/>
    <mergeCell ref="A9:B9"/>
    <mergeCell ref="C9:D9"/>
    <mergeCell ref="E9:F9"/>
    <mergeCell ref="G9:H9"/>
    <mergeCell ref="I9:J9"/>
    <mergeCell ref="K9:M9"/>
  </mergeCells>
  <drawing r:id="rId1"/>
</worksheet>
</file>